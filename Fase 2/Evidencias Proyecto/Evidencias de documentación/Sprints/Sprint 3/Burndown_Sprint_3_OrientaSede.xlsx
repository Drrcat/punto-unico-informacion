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6608" windowHeight="8856" tabRatio="600" firstSheet="0" activeTab="0" autoFilterDateGrouping="1"/>
  </bookViews>
  <sheets>
    <sheet xmlns:r="http://schemas.openxmlformats.org/officeDocument/2006/relationships" name="Sprint_3" sheetId="1" state="visible" r:id="rId1"/>
  </sheets>
  <definedNames>
    <definedName name="_xlnm.Print_Area" localSheetId="0">'Sprint_3'!$A$1:$N$54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sz val="10"/>
    </font>
    <font>
      <name val="Calibri"/>
      <sz val="8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0" borderId="0" pivotButton="0" quotePrefix="0" xfId="0"/>
    <xf numFmtId="0" fontId="0" fillId="0" borderId="0" pivotButton="0" quotePrefix="0" xfId="0"/>
    <xf numFmtId="0" fontId="0" fillId="2" borderId="1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3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3" borderId="4" applyAlignment="1" applyProtection="1" pivotButton="0" quotePrefix="0" xfId="0">
      <alignment horizontal="center" wrapText="1"/>
      <protection locked="0" hidden="0"/>
    </xf>
    <xf numFmtId="0" fontId="4" fillId="0" borderId="0" pivotButton="0" quotePrefix="0" xfId="0"/>
    <xf numFmtId="0" fontId="0" fillId="3" borderId="1" applyProtection="1" pivotButton="0" quotePrefix="0" xfId="0">
      <protection locked="0" hidden="0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center" textRotation="90"/>
    </xf>
    <xf numFmtId="0" fontId="0" fillId="0" borderId="8" pivotButton="0" quotePrefix="0" xfId="0"/>
    <xf numFmtId="0" fontId="0" fillId="0" borderId="9" pivotButton="0" quotePrefix="0" xfId="0"/>
    <xf numFmtId="0" fontId="0" fillId="3" borderId="1" applyAlignment="1" applyProtection="1" pivotButton="0" quotePrefix="0" xfId="0">
      <alignment horizontal="left" vertical="center"/>
      <protection locked="0" hidden="0"/>
    </xf>
    <xf numFmtId="1" fontId="2" fillId="0" borderId="0" pivotButton="0" quotePrefix="0" xfId="0"/>
    <xf numFmtId="1" fontId="0" fillId="0" borderId="0" pivotButton="0" quotePrefix="0" xfId="0"/>
    <xf numFmtId="1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Burndown del Sprint 3: trabajo pendiente en horas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Sprint_3!$A$27</c:f>
              <c:strCache>
                <c:ptCount val="1"/>
                <c:pt idx="0">
                  <c:v>Horas Reales de producto por realizar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Sprint_3!$C$4:$L$4</c:f>
            </c:numRef>
          </c:cat>
          <c:val>
            <c:numRef>
              <c:f>Sprint_3!$D$26:$M$26</c:f>
            </c:numRef>
          </c:val>
          <c:smooth val="0"/>
          <c:extLst>
            <c:ext xmlns:c16="http://schemas.microsoft.com/office/drawing/2014/chart" uri="{C3380CC4-5D6E-409C-BE32-E72D297353CC}">
              <c16:uniqueId val="{00000000-4A45-4C18-8901-30686EE06CCD}"/>
            </c:ext>
          </c:extLst>
        </c:ser>
        <c:ser>
          <c:idx val="1"/>
          <c:order val="1"/>
          <c:tx>
            <c:strRef>
              <c:f>Sprint_3!$A$29</c:f>
              <c:strCache>
                <c:ptCount val="1"/>
                <c:pt idx="0">
                  <c:v>Horas Estimadas de producto por realizar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Sprint_3!$C$4:$L$4</c:f>
            </c:numRef>
          </c:cat>
          <c:val>
            <c:numRef>
              <c:f>Sprint_3!$D$28:$M$28</c:f>
            </c:numRef>
          </c:val>
          <c:smooth val="0"/>
          <c:extLst>
            <c:ext xmlns:c16="http://schemas.microsoft.com/office/drawing/2014/chart" uri="{C3380CC4-5D6E-409C-BE32-E72D297353CC}">
              <c16:uniqueId val="{00000001-4A45-4C18-8901-30686EE06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559392"/>
        <c:axId val="341559784"/>
      </c:lineChart>
      <c:catAx>
        <c:axId val="34155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559784"/>
        <c:crosses val="autoZero"/>
        <c:auto val="1"/>
        <c:lblAlgn val="ctr"/>
        <c:lblOffset val="100"/>
        <c:noMultiLvlLbl val="0"/>
      </c:catAx>
      <c:valAx>
        <c:axId val="34155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55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14</xdr:col>
      <xdr:colOff>0</xdr:colOff>
      <xdr:row>53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5"/>
  <sheetViews>
    <sheetView tabSelected="1" zoomScale="80" zoomScaleNormal="80" workbookViewId="0">
      <selection activeCell="C11" sqref="C11"/>
    </sheetView>
  </sheetViews>
  <sheetFormatPr baseColWidth="10" defaultRowHeight="14.4"/>
  <cols>
    <col width="26.33203125" customWidth="1" style="14" min="1" max="1"/>
    <col width="17" customWidth="1" style="14" min="2" max="2"/>
    <col width="4" customWidth="1" style="14" min="3" max="3"/>
    <col width="3.44140625" customWidth="1" style="14" min="4" max="12"/>
    <col width="7" customWidth="1" style="14" min="13" max="13"/>
  </cols>
  <sheetData>
    <row r="1" ht="21" customHeight="1" s="14">
      <c r="A1" s="3" t="inlineStr">
        <is>
          <t>Control del Sprint 3 de 10 días</t>
        </is>
      </c>
      <c r="G1" t="inlineStr">
        <is>
          <t>Modifique la zona con color verde</t>
        </is>
      </c>
    </row>
    <row r="2" ht="36" customHeight="1" s="14">
      <c r="A2" s="19" t="inlineStr">
        <is>
          <t>20 de octubre al 2 de noviembre de 2026</t>
        </is>
      </c>
      <c r="C2" s="20" t="inlineStr">
        <is>
          <t>20-oct</t>
        </is>
      </c>
      <c r="D2" s="20" t="inlineStr">
        <is>
          <t>21-oct</t>
        </is>
      </c>
      <c r="E2" s="20" t="inlineStr">
        <is>
          <t>22-oct</t>
        </is>
      </c>
      <c r="F2" s="20" t="inlineStr">
        <is>
          <t>23-oct</t>
        </is>
      </c>
      <c r="G2" s="20" t="inlineStr">
        <is>
          <t>26-oct</t>
        </is>
      </c>
      <c r="H2" s="20" t="inlineStr">
        <is>
          <t>27-oct</t>
        </is>
      </c>
      <c r="I2" s="20" t="inlineStr">
        <is>
          <t>28-oct</t>
        </is>
      </c>
      <c r="J2" s="20" t="inlineStr">
        <is>
          <t>29-oct</t>
        </is>
      </c>
      <c r="K2" s="20" t="inlineStr">
        <is>
          <t>30-oct</t>
        </is>
      </c>
      <c r="L2" s="20" t="inlineStr">
        <is>
          <t>2-nov</t>
        </is>
      </c>
    </row>
    <row r="3">
      <c r="A3" s="5" t="inlineStr">
        <is>
          <t xml:space="preserve">Tareas </t>
        </is>
      </c>
      <c r="B3" s="5" t="inlineStr">
        <is>
          <t>horas estimadas</t>
        </is>
      </c>
      <c r="C3" s="5" t="inlineStr">
        <is>
          <t>DIA</t>
        </is>
      </c>
      <c r="D3" s="21" t="n"/>
      <c r="E3" s="21" t="n"/>
      <c r="F3" s="21" t="n"/>
      <c r="G3" s="21" t="n"/>
      <c r="H3" s="21" t="n"/>
      <c r="I3" s="21" t="n"/>
      <c r="J3" s="21" t="n"/>
      <c r="K3" s="21" t="n"/>
      <c r="L3" s="22" t="n"/>
      <c r="M3" s="6" t="inlineStr">
        <is>
          <t>Total</t>
        </is>
      </c>
    </row>
    <row r="4">
      <c r="C4" s="7" t="n">
        <v>1</v>
      </c>
      <c r="D4" s="7" t="n">
        <v>2</v>
      </c>
      <c r="E4" s="7" t="n">
        <v>3</v>
      </c>
      <c r="F4" s="7" t="n">
        <v>4</v>
      </c>
      <c r="G4" s="7" t="n">
        <v>5</v>
      </c>
      <c r="H4" s="7" t="n">
        <v>6</v>
      </c>
      <c r="I4" s="7" t="n">
        <v>7</v>
      </c>
      <c r="J4" s="7" t="n">
        <v>8</v>
      </c>
      <c r="K4" s="7" t="n">
        <v>9</v>
      </c>
      <c r="L4" s="7" t="n">
        <v>10</v>
      </c>
      <c r="M4" s="10" t="n"/>
    </row>
    <row r="5">
      <c r="A5" s="23" t="inlineStr">
        <is>
          <t>E1-H1-T1</t>
        </is>
      </c>
      <c r="B5" s="16" t="n">
        <v>8</v>
      </c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9">
        <f>SUM(C5:L5)</f>
        <v/>
      </c>
    </row>
    <row r="6">
      <c r="A6" s="23" t="inlineStr">
        <is>
          <t>E1-H1-T2</t>
        </is>
      </c>
      <c r="B6" s="16" t="n">
        <v>5</v>
      </c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0">
        <f>SUM(C6:L6)</f>
        <v/>
      </c>
    </row>
    <row r="7">
      <c r="A7" s="23" t="inlineStr">
        <is>
          <t>E1-H1-T3</t>
        </is>
      </c>
      <c r="B7" s="16" t="n">
        <v>8</v>
      </c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0">
        <f>SUM(C7:L7)</f>
        <v/>
      </c>
    </row>
    <row r="8">
      <c r="A8" s="23" t="inlineStr">
        <is>
          <t>E1-H1-T4</t>
        </is>
      </c>
      <c r="B8" s="16" t="n">
        <v>3</v>
      </c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0">
        <f>SUM(C8:L8)</f>
        <v/>
      </c>
    </row>
    <row r="9">
      <c r="A9" s="23" t="inlineStr">
        <is>
          <t>E5-H1-T3</t>
        </is>
      </c>
      <c r="B9" s="16" t="n">
        <v>6</v>
      </c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0">
        <f>SUM(C9:L9)</f>
        <v/>
      </c>
    </row>
    <row r="10">
      <c r="A10" s="23" t="inlineStr">
        <is>
          <t>E4-H1-T1</t>
        </is>
      </c>
      <c r="B10" s="16" t="n">
        <v>5</v>
      </c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0">
        <f>SUM(C10:L10)</f>
        <v/>
      </c>
    </row>
    <row r="11">
      <c r="A11" s="23" t="inlineStr">
        <is>
          <t>E2-H1-T1</t>
        </is>
      </c>
      <c r="B11" s="16" t="n">
        <v>5</v>
      </c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0">
        <f>SUM(C11:L11)</f>
        <v/>
      </c>
    </row>
    <row r="12">
      <c r="A12" s="23" t="inlineStr">
        <is>
          <t>E2-H1-T2</t>
        </is>
      </c>
      <c r="B12" s="16" t="n">
        <v>5</v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0">
        <f>SUM(C12:L12)</f>
        <v/>
      </c>
    </row>
    <row r="13">
      <c r="A13" s="23" t="inlineStr">
        <is>
          <t>E2-H1-T3</t>
        </is>
      </c>
      <c r="B13" s="16" t="n">
        <v>3</v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0">
        <f>SUM(C13:L13)</f>
        <v/>
      </c>
    </row>
    <row r="14">
      <c r="A14" s="23" t="inlineStr">
        <is>
          <t>E3-H1-T1</t>
        </is>
      </c>
      <c r="B14" s="16" t="n">
        <v>8</v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0">
        <f>SUM(C14:L14)</f>
        <v/>
      </c>
    </row>
    <row r="15">
      <c r="A15" s="23" t="inlineStr">
        <is>
          <t>E3-H1-T2</t>
        </is>
      </c>
      <c r="B15" s="16" t="n">
        <v>8</v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0">
        <f>SUM(C15:L15)</f>
        <v/>
      </c>
    </row>
    <row r="16">
      <c r="A16" s="23" t="inlineStr">
        <is>
          <t>E3-H1-T3</t>
        </is>
      </c>
      <c r="B16" s="16" t="n">
        <v>3</v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0">
        <f>SUM(C16:L16)</f>
        <v/>
      </c>
    </row>
    <row r="17">
      <c r="A17" s="23" t="inlineStr">
        <is>
          <t>E5-H4-T1</t>
        </is>
      </c>
      <c r="B17" s="16" t="n">
        <v>5</v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0">
        <f>SUM(C17:L17)</f>
        <v/>
      </c>
    </row>
    <row r="18">
      <c r="A18" s="23" t="inlineStr">
        <is>
          <t>E5-H4-T2</t>
        </is>
      </c>
      <c r="B18" s="16" t="n">
        <v>8</v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0">
        <f>SUM(C18:L18)</f>
        <v/>
      </c>
    </row>
    <row r="19">
      <c r="A19" s="23" t="inlineStr">
        <is>
          <t>E5-H4-T3</t>
        </is>
      </c>
      <c r="B19" s="16" t="n">
        <v>5</v>
      </c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0">
        <f>SUM(C19:L19)</f>
        <v/>
      </c>
    </row>
    <row r="20">
      <c r="A20" s="23" t="inlineStr">
        <is>
          <t>E5-H4-T4</t>
        </is>
      </c>
      <c r="B20" s="16" t="n">
        <v>4</v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0">
        <f>SUM(C20:L20)</f>
        <v/>
      </c>
    </row>
    <row r="21">
      <c r="A21" s="23" t="inlineStr">
        <is>
          <t>E5-H1-T1</t>
        </is>
      </c>
      <c r="B21" s="16" t="n">
        <v>8</v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0">
        <f>SUM(C21:L21)</f>
        <v/>
      </c>
    </row>
    <row r="22">
      <c r="A22" s="23" t="inlineStr">
        <is>
          <t>E5-H1-T2</t>
        </is>
      </c>
      <c r="B22" s="16" t="n">
        <v>4</v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0">
        <f>SUM(C22:L22)</f>
        <v/>
      </c>
    </row>
    <row r="23">
      <c r="A23" s="23" t="n"/>
      <c r="B23" s="16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0">
        <f>SUM(C23:L23)</f>
        <v/>
      </c>
    </row>
    <row r="24">
      <c r="A24" s="23" t="n"/>
      <c r="B24" s="16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1">
        <f>SUM(C24:L24)</f>
        <v/>
      </c>
    </row>
    <row r="25"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</row>
    <row r="26">
      <c r="B26" s="24">
        <f>SUM(B5:B25)</f>
        <v/>
      </c>
      <c r="C26" s="24">
        <f>B26</f>
        <v/>
      </c>
      <c r="D26" s="24">
        <f>C26-SUM(C5:C24)</f>
        <v/>
      </c>
      <c r="E26" s="24">
        <f>D26-SUM(D5:D24)</f>
        <v/>
      </c>
      <c r="F26" s="24">
        <f>E26-SUM(E5:E24)</f>
        <v/>
      </c>
      <c r="G26" s="24">
        <f>F26-SUM(F5:F24)</f>
        <v/>
      </c>
      <c r="H26" s="24">
        <f>G26-SUM(G5:G24)</f>
        <v/>
      </c>
      <c r="I26" s="24">
        <f>H26-SUM(H5:H24)</f>
        <v/>
      </c>
      <c r="J26" s="24">
        <f>I26-SUM(I5:I24)</f>
        <v/>
      </c>
      <c r="K26" s="24">
        <f>J26-SUM(J5:J24)</f>
        <v/>
      </c>
      <c r="L26" s="24">
        <f>K26-SUM(K5:K24)</f>
        <v/>
      </c>
      <c r="M26" s="24">
        <f>L26-SUM(L5:L24)</f>
        <v/>
      </c>
    </row>
    <row r="27" ht="28.8" customHeight="1" s="14">
      <c r="A27" s="13" t="inlineStr">
        <is>
          <t>Horas Reales de producto por realizar</t>
        </is>
      </c>
      <c r="B27" s="25">
        <f>C26</f>
        <v/>
      </c>
      <c r="C27" s="25">
        <f>D26</f>
        <v/>
      </c>
      <c r="D27" s="25">
        <f>E26</f>
        <v/>
      </c>
      <c r="E27" s="25">
        <f>F26</f>
        <v/>
      </c>
      <c r="F27" s="25">
        <f>G26</f>
        <v/>
      </c>
      <c r="G27" s="25">
        <f>H26</f>
        <v/>
      </c>
      <c r="H27" s="25">
        <f>I26</f>
        <v/>
      </c>
      <c r="I27" s="25">
        <f>J26</f>
        <v/>
      </c>
      <c r="J27" s="25">
        <f>K26</f>
        <v/>
      </c>
      <c r="K27" s="25">
        <f>L26</f>
        <v/>
      </c>
      <c r="L27" s="25">
        <f>M26</f>
        <v/>
      </c>
      <c r="M27" s="25" t="n"/>
    </row>
    <row r="28">
      <c r="B28" s="24">
        <f>SUM(B5:B24)</f>
        <v/>
      </c>
      <c r="C28" s="24">
        <f>SUM(B5:B24)</f>
        <v/>
      </c>
      <c r="D28" s="24">
        <f>C28-(SUM($B$5:$B$24)/10)</f>
        <v/>
      </c>
      <c r="E28" s="24">
        <f>D28-(SUM($B$5:$B$24)/10)</f>
        <v/>
      </c>
      <c r="F28" s="24">
        <f>E28-(SUM($B$5:$B$24)/10)</f>
        <v/>
      </c>
      <c r="G28" s="24">
        <f>F28-(SUM($B$5:$B$24)/10)</f>
        <v/>
      </c>
      <c r="H28" s="24">
        <f>G28-(SUM($B$5:$B$24)/10)</f>
        <v/>
      </c>
      <c r="I28" s="24">
        <f>H28-(SUM($B$5:$B$24)/10)</f>
        <v/>
      </c>
      <c r="J28" s="24">
        <f>I28-(SUM($B$5:$B$24)/10)</f>
        <v/>
      </c>
      <c r="K28" s="24">
        <f>J28-(SUM($B$5:$B$24)/10)</f>
        <v/>
      </c>
      <c r="L28" s="24">
        <f>K28-(SUM($B$5:$B$24)/10)</f>
        <v/>
      </c>
      <c r="M28" s="24">
        <f>L28-(SUM($B$5:$B$24)/10)</f>
        <v/>
      </c>
    </row>
    <row r="29" ht="28.8" customHeight="1" s="14">
      <c r="A29" s="13" t="inlineStr">
        <is>
          <t>Horas Estimadas de producto por realizar</t>
        </is>
      </c>
      <c r="B29" s="26">
        <f>B28</f>
        <v/>
      </c>
      <c r="C29" s="26">
        <f>D28</f>
        <v/>
      </c>
      <c r="D29" s="26">
        <f>E28</f>
        <v/>
      </c>
      <c r="E29" s="26">
        <f>F28</f>
        <v/>
      </c>
      <c r="F29" s="26">
        <f>G28</f>
        <v/>
      </c>
      <c r="G29" s="26">
        <f>H28</f>
        <v/>
      </c>
      <c r="H29" s="26">
        <f>I28</f>
        <v/>
      </c>
      <c r="I29" s="26">
        <f>J28</f>
        <v/>
      </c>
      <c r="J29" s="26">
        <f>K28</f>
        <v/>
      </c>
      <c r="K29" s="26">
        <f>L28</f>
        <v/>
      </c>
      <c r="L29" s="26">
        <f>M28</f>
        <v/>
      </c>
      <c r="M29" s="26" t="n"/>
    </row>
    <row r="30">
      <c r="B30" s="15" t="n"/>
    </row>
    <row r="31">
      <c r="B31" s="15" t="n"/>
      <c r="G31" s="15" t="n"/>
    </row>
    <row r="32">
      <c r="B32" s="15" t="n"/>
      <c r="G32" s="15" t="n"/>
    </row>
    <row r="33">
      <c r="B33" s="15" t="n"/>
      <c r="G33" s="15" t="n"/>
    </row>
    <row r="34">
      <c r="B34" s="15" t="n"/>
      <c r="G34" s="15" t="n"/>
    </row>
    <row r="35">
      <c r="B35" s="15" t="n"/>
      <c r="G35" s="15" t="n"/>
    </row>
    <row r="36">
      <c r="B36" s="15" t="n"/>
      <c r="G36" s="15" t="n"/>
    </row>
    <row r="37">
      <c r="B37" s="15" t="n"/>
    </row>
    <row r="38">
      <c r="B38" s="15" t="n"/>
    </row>
    <row r="39">
      <c r="B39" s="15" t="n"/>
    </row>
    <row r="40"/>
    <row r="41"/>
    <row r="42"/>
    <row r="43"/>
    <row r="44"/>
    <row r="45"/>
  </sheetData>
  <sheetProtection selectLockedCells="1" selectUnlockedCells="0" algorithmName="SHA-512" sheet="1" objects="1" insertRows="0" insertHyperlinks="1" autoFilter="1" scenarios="1" formatColumns="0" deleteColumns="1" insertColumns="1" pivotTables="1" deleteRows="0" formatCells="0" saltValue="uq7tf/aez4+adURQiHXj1g==" formatRows="0" sort="1" spinCount="100000" hashValue="5OIk9NT/l72X9O37hLkmuPoe78vkRiP53QMM8hUhbHcf6SLSob7Tx4x2xW4Zf0lUb+yD1Pf3fdMYKkCAvz674g=="/>
  <mergeCells count="2">
    <mergeCell ref="C3:L3"/>
    <mergeCell ref="M3:M4"/>
  </mergeCells>
  <pageMargins left="0.7" right="0.7" top="0.75" bottom="0.75" header="0.3" footer="0.3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Patricia Cavieres Navarro</dc:creator>
  <dc:title xmlns:dc="http://purl.org/dc/elements/1.1/">OrientaSede (Punto Único de Información)</dc:title>
  <dcterms:created xmlns:dcterms="http://purl.org/dc/terms/" xmlns:xsi="http://www.w3.org/2001/XMLSchema-instance" xsi:type="dcterms:W3CDTF">2018-02-12T12:05:26Z</dcterms:created>
  <dcterms:modified xmlns:dcterms="http://purl.org/dc/terms/" xmlns:xsi="http://www.w3.org/2001/XMLSchema-instance" xsi:type="dcterms:W3CDTF">2026-10-16T12:22:38Z</dcterms:modified>
  <cp:lastModifiedBy>Patricia Cavieres Navarro</cp:lastModifiedBy>
</cp:coreProperties>
</file>